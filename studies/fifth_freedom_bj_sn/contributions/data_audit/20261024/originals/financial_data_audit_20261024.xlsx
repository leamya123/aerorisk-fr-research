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核验结论" sheetId="1" r:id="rId1"/>
    <sheet name="数值与来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<sst xmlns="http://schemas.openxmlformats.org/spreadsheetml/2006/main" count="167" uniqueCount="123">
  <si>
    <t>金融数据核验结果</t>
  </si>
  <si>
    <t>核验对象：ECB/BCEAO利率、区域银行融资成本、Air Côte d’Ivoire财务数据及现有证据图表。</t>
  </si>
  <si>
    <t>数据分支：research/fifth-freedom-bj-sn-v3（10.24下午最新更新后的版本）；审计日期：2026-10-24。数值与计算核对通过，不等于全部官方原件已独立复核。</t>
  </si>
  <si>
    <t>一、未发现明显问题的项目</t>
  </si>
  <si>
    <t>编号</t>
  </si>
  <si>
    <t>核验对象</t>
  </si>
  <si>
    <t>核验结论</t>
  </si>
  <si>
    <t>主要依据</t>
  </si>
  <si>
    <t>核验范围</t>
  </si>
  <si>
    <t>状态</t>
  </si>
  <si>
    <t>P01</t>
  </si>
  <si>
    <t>数据结构与期间</t>
  </si>
  <si>
    <t>ECB/BCEAO政策事件与81个月月末利率面板对应；截至2026-09。</t>
  </si>
  <si>
    <t>政策事件CSV、月末面板CSV</t>
  </si>
  <si>
    <t>检查生效事件、时间跨度及月末取值口径。</t>
  </si>
  <si>
    <t>通过</t>
  </si>
  <si>
    <t>P02</t>
  </si>
  <si>
    <t>BCEAO年度贷款均率</t>
  </si>
  <si>
    <t>2020—2025六年、三个地区的记录完整；2024→2025差额复算正确。</t>
  </si>
  <si>
    <t>BCEAO 2025年银行条件年报</t>
  </si>
  <si>
    <t>同一年度报告回溯版本；单位为百分率。</t>
  </si>
  <si>
    <t>P03</t>
  </si>
  <si>
    <t>一周招标及季度贷款数据</t>
  </si>
  <si>
    <t>招标利率5.500%→3.577%为-192.3基点；UEMOA季度贷款6.97%→6.72%为-25基点。</t>
  </si>
  <si>
    <t>BCEAO 2026Q1公报表1.2、3.1</t>
  </si>
  <si>
    <t>端点运算检查；不评价政策因果效应。</t>
  </si>
  <si>
    <t>P04</t>
  </si>
  <si>
    <t>航司2022/2023单位换算</t>
  </si>
  <si>
    <t>2022亏损934.76百万=-0.93476十亿XOF；2023盈利657.67百万=0.65767十亿XOF。</t>
  </si>
  <si>
    <t>DGPE报告p151与公司财务CSV</t>
  </si>
  <si>
    <t>核对金额单位、正负号和换算。</t>
  </si>
  <si>
    <t>P05</t>
  </si>
  <si>
    <t>现有证据统计及公司财务图</t>
  </si>
  <si>
    <t>法律四表计数25/11/18/9一致；公司财务图与CSV的金额、正负方向一致。</t>
  </si>
  <si>
    <t>法律四表与v3财务SVG生成代码</t>
  </si>
  <si>
    <t>只表示内部统计和图形数值对应正确。</t>
  </si>
  <si>
    <t>二、发现的问题及待核实事项</t>
  </si>
  <si>
    <t>问题类型</t>
  </si>
  <si>
    <t>具体问题</t>
  </si>
  <si>
    <t>对结果的影响</t>
  </si>
  <si>
    <t>建议处理</t>
  </si>
  <si>
    <t>F01</t>
  </si>
  <si>
    <t>官方版本冲突</t>
  </si>
  <si>
    <t>2025Q1科特迪瓦贷款均率旧版6.78%、新版6.34%；塞内加尔旧版7.07%、新版5.93%。</t>
  </si>
  <si>
    <t>差异44/114基点；影响季度趋势及国别比较，修订原因尚不明确。</t>
  </si>
  <si>
    <t>保留公报版本号；向BCEAO查证；分析时排除2025Q1做敏感性检查。</t>
  </si>
  <si>
    <t>待官方解释</t>
  </si>
  <si>
    <t>F02</t>
  </si>
  <si>
    <t>财务精度不统一</t>
  </si>
  <si>
    <t>2019—2021来自DGPE图示近似值；2022营收为图示值、净利润为正文金额；2023两项为正文金额。</t>
  </si>
  <si>
    <t>不同年度不能视作相同精度；财务图统一两位小数掩盖原始位数。</t>
  </si>
  <si>
    <t>保持源CSV原值；图下注明近似值和精度；正文引用以来源披露为准。</t>
  </si>
  <si>
    <t>已确认</t>
  </si>
  <si>
    <t>F03</t>
  </si>
  <si>
    <t>审计证据缺口</t>
  </si>
  <si>
    <t>尚未独立取得Air Côte d’Ivoire各年度经审计财务报表。</t>
  </si>
  <si>
    <t>DGPE披露值有官方出处，但不能宣称已对单独审计财报完成核实。</t>
  </si>
  <si>
    <t>如需要审计层级结论，补充航司财务报表及审计意见。</t>
  </si>
  <si>
    <t>待补证</t>
  </si>
  <si>
    <t>F04</t>
  </si>
  <si>
    <t>指标口径混用风险</t>
  </si>
  <si>
    <t>政策利率、一周流动性招标率、银行客户贷款均率并非同一融资指标。</t>
  </si>
  <si>
    <t>不能把区域贷款均率称为航空公司实际借款成本或飞机租赁费率。</t>
  </si>
  <si>
    <t>统一标明利率种类、年份、频率、地区；修改有歧义的图注。</t>
  </si>
  <si>
    <t>F05</t>
  </si>
  <si>
    <t>财务披露边界</t>
  </si>
  <si>
    <t>2023报告涉及政府支持21.5十亿XOF，但其会计确认方式尚未查明。</t>
  </si>
  <si>
    <t>不能依据营收/净利润序列单独判断政府支持或政策利率对利润的贡献。</t>
  </si>
  <si>
    <t>保留为待核项目；后续如分析利润成因，先取得完整财报附注。</t>
  </si>
  <si>
    <t>三、结论使用边界</t>
  </si>
  <si>
    <r>
      <t>本次没有发现需立即改写的已核对金额或四表计数；</t>
    </r>
    <r>
      <rPr>
        <sz val="10"/>
        <color theme="3" tint="0.5"/>
        <rFont val="Microsoft YaHei"/>
        <charset val="134"/>
      </rPr>
      <t>主要发现是跨版本数值冲突、精度差异及证据缺口。</t>
    </r>
  </si>
  <si>
    <t>“通过”仅表示所列核验范围通过；不等于已完成全部官方PDF逐页重核，也不等于指标可以用于因果推断。</t>
  </si>
  <si>
    <t>关键数值与官方来源</t>
  </si>
  <si>
    <t>按原始数据期间和单位列示；不同统计对象的记录数不能相加。</t>
  </si>
  <si>
    <t>一、年度银行贷款平均利率（%）</t>
  </si>
  <si>
    <t>年份</t>
  </si>
  <si>
    <t>UEMOA</t>
  </si>
  <si>
    <t>科特迪瓦</t>
  </si>
  <si>
    <t>塞内加尔</t>
  </si>
  <si>
    <t>数据版本</t>
  </si>
  <si>
    <t>核验说明</t>
  </si>
  <si>
    <t>来源与位置</t>
  </si>
  <si>
    <t>BCEAO 2025年年报</t>
  </si>
  <si>
    <t>年度新发客户贷款加权平均利率；区域包含成员国。</t>
  </si>
  <si>
    <t>BCEAO条件银行年报2025；UEMOA附录p34，科特迪瓦p46，塞内加尔p62</t>
  </si>
  <si>
    <t>2024→2025变动（基点）</t>
  </si>
  <si>
    <t>计算：(2025值−2024值)×100</t>
  </si>
  <si>
    <t>仅描述性年度变动；不表示贷款构成不变。</t>
  </si>
  <si>
    <t>同上</t>
  </si>
  <si>
    <t>二、航空公司年度财务（名义十亿XOF）</t>
  </si>
  <si>
    <t>年度</t>
  </si>
  <si>
    <t>营收</t>
  </si>
  <si>
    <t>净利润</t>
  </si>
  <si>
    <t>数值类型</t>
  </si>
  <si>
    <t>审计状态</t>
  </si>
  <si>
    <t>图示近似值</t>
  </si>
  <si>
    <t>单独审计报表未核实</t>
  </si>
  <si>
    <t>源CSV与报告图示值对应</t>
  </si>
  <si>
    <t>科特迪瓦DGPE 2023—2024国有企业报告，p151</t>
  </si>
  <si>
    <t>营收近似/利润正文</t>
  </si>
  <si>
    <t>净亏损934.76百万XOF / 1000</t>
  </si>
  <si>
    <t>正文明确金额</t>
  </si>
  <si>
    <t>净利润657.67百万XOF / 1000</t>
  </si>
  <si>
    <t>三、需保留版本记录的异常</t>
  </si>
  <si>
    <t>季度</t>
  </si>
  <si>
    <t>国别</t>
  </si>
  <si>
    <t>旧版（%）</t>
  </si>
  <si>
    <t>新版（%）</t>
  </si>
  <si>
    <t>差异（基点）</t>
  </si>
  <si>
    <t>核验状态</t>
  </si>
  <si>
    <t>2025Q1</t>
  </si>
  <si>
    <t>官方跨版本差异已记录；修订原因未核实</t>
  </si>
  <si>
    <t>BCEAO 2025Q3与2026Q1季度公报，表3.1</t>
  </si>
  <si>
    <t>四、官方来源链接</t>
  </si>
  <si>
    <t>ECB政策利率</t>
  </si>
  <si>
    <t>https://www.ecb.europa.eu/stats/policy_and_exchange_rates/key_ecb_interest_rates/html/index.en.html</t>
  </si>
  <si>
    <t>https://www.bceao.int/index.php/fr/publications/rapport-annuel-sur-les-conditions-de-banque-dans-luemoa-2025</t>
  </si>
  <si>
    <t>BCEAO 2026Q1公报</t>
  </si>
  <si>
    <t>https://www.bceao.int/sites/default/files/2026-06/Bulletin-Trimestriel-des-Statistiques-mars-2026.pdf</t>
  </si>
  <si>
    <t>BCEAO旧版季度公报</t>
  </si>
  <si>
    <t>https://downloads.bceao.int/sites/default/files/2026-02/Bulletin-Trimestriel-des-Statistiques_3T2025_VF.pdf</t>
  </si>
  <si>
    <t>DGPE航司财务</t>
  </si>
  <si>
    <t>https://dgpe.gouv.ci/fr/wp-content/uploads/2025/02/Rapport-DGPE-2023-2024.pdf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</si>
</sst>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7">
    <font>
      <sz val="11"/>
      <name val="Carlito"/>
      <charset val="134"/>
    </font>
    <font>
      <sz val="10"/>
      <name val="Microsoft YaHei"/>
      <charset val="134"/>
    </font>
    <font>
      <b/>
      <sz val="14"/>
      <color rgb="FF263746"/>
      <name val="Microsoft YaHei"/>
      <charset val="134"/>
    </font>
    <font>
      <b/>
      <sz val="10"/>
      <name val="Microsoft YaHei"/>
      <charset val="134"/>
    </font>
    <font>
      <sz val="10"/>
      <color rgb="FF234D6B"/>
      <name val="Microsoft YaHei"/>
      <charset val="134"/>
    </font>
    <font>
      <b/>
      <sz val="10"/>
      <color rgb="FF00B0F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3" tint="0.5"/>
      <name val="Microsoft Ya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8ED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3DAE0"/>
      </bottom>
      <diagonal/>
    </border>
    <border>
      <left/>
      <right/>
      <top style="thin">
        <color rgb="FFD3DAE0"/>
      </top>
      <bottom style="thin">
        <color rgb="FFD3DAE0"/>
      </bottom>
      <diagonal/>
    </border>
    <border>
      <left/>
      <right/>
      <top style="thin">
        <color rgb="FFD3DAE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vertical="center"/>
    </xf>
    <xf numFmtId="0" fontId="3" fillId="2" borderId="1" xfId="49" applyNumberFormat="1" applyFont="1" applyFill="1" applyBorder="1" applyAlignment="1">
      <alignment vertical="center" wrapText="1"/>
    </xf>
    <xf numFmtId="0" fontId="1" fillId="0" borderId="1" xfId="49" applyNumberFormat="1" applyFont="1" applyFill="1" applyBorder="1" applyAlignment="1">
      <alignment vertical="center" wrapText="1"/>
    </xf>
    <xf numFmtId="2" fontId="1" fillId="0" borderId="1" xfId="49" applyNumberFormat="1" applyFont="1" applyFill="1" applyBorder="1" applyAlignment="1">
      <alignment vertical="center" wrapText="1"/>
    </xf>
    <xf numFmtId="0" fontId="1" fillId="0" borderId="2" xfId="49" applyNumberFormat="1" applyFont="1" applyFill="1" applyBorder="1" applyAlignment="1">
      <alignment vertical="center" wrapText="1"/>
    </xf>
    <xf numFmtId="2" fontId="1" fillId="0" borderId="2" xfId="49" applyNumberFormat="1" applyFont="1" applyFill="1" applyBorder="1" applyAlignment="1">
      <alignment vertical="center" wrapText="1"/>
    </xf>
    <xf numFmtId="0" fontId="1" fillId="0" borderId="3" xfId="49" applyNumberFormat="1" applyFont="1" applyFill="1" applyBorder="1" applyAlignment="1">
      <alignment vertical="center" wrapText="1"/>
    </xf>
    <xf numFmtId="2" fontId="1" fillId="0" borderId="3" xfId="49" applyNumberFormat="1" applyFont="1" applyFill="1" applyBorder="1" applyAlignment="1">
      <alignment vertical="center" wrapText="1"/>
    </xf>
    <xf numFmtId="1" fontId="1" fillId="0" borderId="0" xfId="49" applyNumberFormat="1" applyFont="1" applyFill="1" applyBorder="1" applyAlignment="1">
      <alignment vertical="center"/>
    </xf>
    <xf numFmtId="176" fontId="1" fillId="0" borderId="1" xfId="49" applyNumberFormat="1" applyFont="1" applyFill="1" applyBorder="1" applyAlignment="1">
      <alignment vertical="center" wrapText="1"/>
    </xf>
    <xf numFmtId="176" fontId="1" fillId="0" borderId="2" xfId="49" applyNumberFormat="1" applyFont="1" applyFill="1" applyBorder="1" applyAlignment="1">
      <alignment vertical="center" wrapText="1"/>
    </xf>
    <xf numFmtId="176" fontId="1" fillId="0" borderId="3" xfId="49" applyNumberFormat="1" applyFont="1" applyFill="1" applyBorder="1" applyAlignment="1">
      <alignment vertical="center" wrapText="1"/>
    </xf>
    <xf numFmtId="1" fontId="1" fillId="0" borderId="1" xfId="49" applyNumberFormat="1" applyFont="1" applyFill="1" applyBorder="1" applyAlignment="1">
      <alignment vertical="center" wrapText="1"/>
    </xf>
    <xf numFmtId="1" fontId="1" fillId="0" borderId="3" xfId="49" applyNumberFormat="1" applyFont="1" applyFill="1" applyBorder="1" applyAlignment="1">
      <alignment vertical="center" wrapText="1"/>
    </xf>
    <xf numFmtId="0" fontId="4" fillId="0" borderId="0" xfId="49" applyNumberFormat="1" applyFont="1" applyFill="1" applyBorder="1" applyAlignment="1">
      <alignment vertical="center"/>
    </xf>
    <xf numFmtId="0" fontId="5" fillId="2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showGridLines="0" tabSelected="1" workbookViewId="0">
      <pane ySplit="7" topLeftCell="A8" activePane="bottomLeft" state="frozen"/>
      <selection/>
      <selection pane="bottomLeft" activeCell="C2" sqref="C2"/>
    </sheetView>
  </sheetViews>
  <sheetFormatPr defaultColWidth="9" defaultRowHeight="13.5" outlineLevelCol="5"/>
  <cols>
    <col min="1" max="1" width="23" customWidth="1"/>
    <col min="2" max="2" width="28" customWidth="1"/>
    <col min="3" max="3" width="43" customWidth="1"/>
    <col min="4" max="4" width="41" customWidth="1"/>
    <col min="5" max="5" width="43" customWidth="1"/>
    <col min="6" max="6" width="26" customWidth="1"/>
  </cols>
  <sheetData>
    <row r="1" ht="13.85" spans="1:6">
      <c r="A1" s="1"/>
      <c r="B1" s="1"/>
      <c r="C1" s="1"/>
      <c r="D1" s="1"/>
      <c r="E1" s="1"/>
      <c r="F1" s="1"/>
    </row>
    <row r="2" ht="32" customHeight="1" spans="1:6">
      <c r="A2" s="2" t="s">
        <v>0</v>
      </c>
      <c r="B2" s="1"/>
      <c r="C2" s="1"/>
      <c r="D2" s="1"/>
      <c r="E2" s="1"/>
      <c r="F2" s="1"/>
    </row>
    <row r="3" ht="13.85" spans="1:6">
      <c r="A3" s="1" t="s">
        <v>1</v>
      </c>
      <c r="B3" s="1"/>
      <c r="C3" s="1"/>
      <c r="D3" s="1"/>
      <c r="E3" s="1"/>
      <c r="F3" s="1"/>
    </row>
    <row r="4" ht="13.85" spans="1:6">
      <c r="A4" s="1" t="s">
        <v>2</v>
      </c>
      <c r="B4" s="1"/>
      <c r="C4" s="1"/>
      <c r="D4" s="1"/>
      <c r="E4" s="1"/>
      <c r="F4" s="1"/>
    </row>
    <row r="5" ht="13.85" spans="1:6">
      <c r="A5" s="1"/>
      <c r="B5" s="1"/>
      <c r="C5" s="1"/>
      <c r="D5" s="1"/>
      <c r="E5" s="1"/>
      <c r="F5" s="1"/>
    </row>
    <row r="6" ht="27" customHeight="1" spans="1:6">
      <c r="A6" s="3" t="s">
        <v>3</v>
      </c>
      <c r="B6" s="3"/>
      <c r="C6" s="3"/>
      <c r="D6" s="3"/>
      <c r="E6" s="3"/>
      <c r="F6" s="3"/>
    </row>
    <row r="7" ht="36" customHeight="1" spans="1:6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ht="58" customHeight="1" spans="1:6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</row>
    <row r="9" ht="58" customHeight="1" spans="1:6">
      <c r="A9" s="7" t="s">
        <v>16</v>
      </c>
      <c r="B9" s="7" t="s">
        <v>17</v>
      </c>
      <c r="C9" s="7" t="s">
        <v>18</v>
      </c>
      <c r="D9" s="7" t="s">
        <v>19</v>
      </c>
      <c r="E9" s="7" t="s">
        <v>20</v>
      </c>
      <c r="F9" s="7" t="s">
        <v>15</v>
      </c>
    </row>
    <row r="10" ht="58" customHeight="1" spans="1:6">
      <c r="A10" s="7" t="s">
        <v>21</v>
      </c>
      <c r="B10" s="7" t="s">
        <v>22</v>
      </c>
      <c r="C10" s="7" t="s">
        <v>23</v>
      </c>
      <c r="D10" s="7" t="s">
        <v>24</v>
      </c>
      <c r="E10" s="7" t="s">
        <v>25</v>
      </c>
      <c r="F10" s="7" t="s">
        <v>15</v>
      </c>
    </row>
    <row r="11" ht="58" customHeight="1" spans="1:6">
      <c r="A11" s="7" t="s">
        <v>26</v>
      </c>
      <c r="B11" s="7" t="s">
        <v>27</v>
      </c>
      <c r="C11" s="7" t="s">
        <v>28</v>
      </c>
      <c r="D11" s="7" t="s">
        <v>29</v>
      </c>
      <c r="E11" s="7" t="s">
        <v>30</v>
      </c>
      <c r="F11" s="7" t="s">
        <v>15</v>
      </c>
    </row>
    <row r="12" ht="58" customHeight="1" spans="1:6">
      <c r="A12" s="9" t="s">
        <v>31</v>
      </c>
      <c r="B12" s="9" t="s">
        <v>32</v>
      </c>
      <c r="C12" s="9" t="s">
        <v>33</v>
      </c>
      <c r="D12" s="9" t="s">
        <v>34</v>
      </c>
      <c r="E12" s="9" t="s">
        <v>35</v>
      </c>
      <c r="F12" s="9" t="s">
        <v>15</v>
      </c>
    </row>
    <row r="13" ht="13.85" spans="1:6">
      <c r="A13" s="1"/>
      <c r="B13" s="1"/>
      <c r="C13" s="1"/>
      <c r="D13" s="1"/>
      <c r="E13" s="1"/>
      <c r="F13" s="1"/>
    </row>
    <row r="14" ht="13.85" spans="1:6">
      <c r="A14" s="1"/>
      <c r="B14" s="1"/>
      <c r="C14" s="1"/>
      <c r="D14" s="1"/>
      <c r="E14" s="1"/>
      <c r="F14" s="1"/>
    </row>
    <row r="15" ht="27" customHeight="1" spans="1:6">
      <c r="A15" s="18" t="s">
        <v>36</v>
      </c>
      <c r="B15" s="3"/>
      <c r="C15" s="3"/>
      <c r="D15" s="3"/>
      <c r="E15" s="3"/>
      <c r="F15" s="3"/>
    </row>
    <row r="16" ht="36" customHeight="1" spans="1:6">
      <c r="A16" s="4" t="s">
        <v>4</v>
      </c>
      <c r="B16" s="4" t="s">
        <v>37</v>
      </c>
      <c r="C16" s="4" t="s">
        <v>38</v>
      </c>
      <c r="D16" s="4" t="s">
        <v>39</v>
      </c>
      <c r="E16" s="4" t="s">
        <v>40</v>
      </c>
      <c r="F16" s="4" t="s">
        <v>9</v>
      </c>
    </row>
    <row r="17" ht="76" customHeight="1" spans="1:6">
      <c r="A17" s="5" t="s">
        <v>41</v>
      </c>
      <c r="B17" s="5" t="s">
        <v>42</v>
      </c>
      <c r="C17" s="5" t="s">
        <v>43</v>
      </c>
      <c r="D17" s="5" t="s">
        <v>44</v>
      </c>
      <c r="E17" s="5" t="s">
        <v>45</v>
      </c>
      <c r="F17" s="5" t="s">
        <v>46</v>
      </c>
    </row>
    <row r="18" ht="76" customHeight="1" spans="1:6">
      <c r="A18" s="7" t="s">
        <v>47</v>
      </c>
      <c r="B18" s="7" t="s">
        <v>48</v>
      </c>
      <c r="C18" s="7" t="s">
        <v>49</v>
      </c>
      <c r="D18" s="7" t="s">
        <v>50</v>
      </c>
      <c r="E18" s="7" t="s">
        <v>51</v>
      </c>
      <c r="F18" s="7" t="s">
        <v>52</v>
      </c>
    </row>
    <row r="19" ht="76" customHeight="1" spans="1:6">
      <c r="A19" s="7" t="s">
        <v>53</v>
      </c>
      <c r="B19" s="7" t="s">
        <v>54</v>
      </c>
      <c r="C19" s="7" t="s">
        <v>55</v>
      </c>
      <c r="D19" s="7" t="s">
        <v>56</v>
      </c>
      <c r="E19" s="7" t="s">
        <v>57</v>
      </c>
      <c r="F19" s="7" t="s">
        <v>58</v>
      </c>
    </row>
    <row r="20" ht="76" customHeight="1" spans="1:6">
      <c r="A20" s="7" t="s">
        <v>59</v>
      </c>
      <c r="B20" s="7" t="s">
        <v>60</v>
      </c>
      <c r="C20" s="7" t="s">
        <v>61</v>
      </c>
      <c r="D20" s="7" t="s">
        <v>62</v>
      </c>
      <c r="E20" s="7" t="s">
        <v>63</v>
      </c>
      <c r="F20" s="7" t="s">
        <v>52</v>
      </c>
    </row>
    <row r="21" ht="76" customHeight="1" spans="1:6">
      <c r="A21" s="9" t="s">
        <v>64</v>
      </c>
      <c r="B21" s="9" t="s">
        <v>65</v>
      </c>
      <c r="C21" s="9" t="s">
        <v>66</v>
      </c>
      <c r="D21" s="9" t="s">
        <v>67</v>
      </c>
      <c r="E21" s="9" t="s">
        <v>68</v>
      </c>
      <c r="F21" s="9" t="s">
        <v>58</v>
      </c>
    </row>
    <row r="22" ht="13.85" spans="1:6">
      <c r="A22" s="1"/>
      <c r="B22" s="1"/>
      <c r="C22" s="1"/>
      <c r="D22" s="1"/>
      <c r="E22" s="1"/>
      <c r="F22" s="1"/>
    </row>
    <row r="23" ht="13.85" spans="1:6">
      <c r="A23" s="1"/>
      <c r="B23" s="1"/>
      <c r="C23" s="1"/>
      <c r="D23" s="1"/>
      <c r="E23" s="1"/>
      <c r="F23" s="1"/>
    </row>
    <row r="24" ht="13.85" spans="1:6">
      <c r="A24" s="1"/>
      <c r="B24" s="1"/>
      <c r="C24" s="1"/>
      <c r="D24" s="1"/>
      <c r="E24" s="1"/>
      <c r="F24" s="1"/>
    </row>
    <row r="25" ht="27" customHeight="1" spans="1:6">
      <c r="A25" s="3" t="s">
        <v>69</v>
      </c>
      <c r="B25" s="3"/>
      <c r="C25" s="3"/>
      <c r="D25" s="3"/>
      <c r="E25" s="3"/>
      <c r="F25" s="3"/>
    </row>
    <row r="26" ht="13.9" spans="1:6">
      <c r="A26" s="1" t="s">
        <v>70</v>
      </c>
      <c r="B26" s="1"/>
      <c r="C26" s="1"/>
      <c r="D26" s="1"/>
      <c r="E26" s="1"/>
      <c r="F26" s="1"/>
    </row>
    <row r="27" ht="13.85" spans="1:6">
      <c r="A27" s="1" t="s">
        <v>71</v>
      </c>
      <c r="B27" s="1"/>
      <c r="C27" s="1"/>
      <c r="D27" s="1"/>
      <c r="E27" s="1"/>
      <c r="F27" s="1"/>
    </row>
    <row r="28" ht="13.85" spans="1:6">
      <c r="A28" s="1"/>
      <c r="B28" s="1"/>
      <c r="C28" s="1"/>
      <c r="D28" s="1"/>
      <c r="E28" s="1"/>
      <c r="F28" s="1"/>
    </row>
    <row r="29" ht="13.85" spans="1:6">
      <c r="A29" s="1"/>
      <c r="B29" s="1"/>
      <c r="C29" s="1"/>
      <c r="D29" s="1"/>
      <c r="E29" s="1"/>
      <c r="F29" s="1"/>
    </row>
    <row r="30" ht="13.85" spans="1:6">
      <c r="A30" s="1"/>
      <c r="B30" s="1"/>
      <c r="C30" s="1"/>
      <c r="D30" s="1"/>
      <c r="E30" s="1"/>
      <c r="F30" s="1"/>
    </row>
    <row r="31" ht="13.85" spans="1:6">
      <c r="A31" s="1"/>
      <c r="B31" s="1"/>
      <c r="C31" s="1"/>
      <c r="D31" s="1"/>
      <c r="E31" s="1"/>
      <c r="F31" s="1"/>
    </row>
    <row r="32" ht="13.85" spans="1:6">
      <c r="A32" s="1"/>
      <c r="B32" s="1"/>
      <c r="C32" s="1"/>
      <c r="D32" s="1"/>
      <c r="E32" s="1"/>
      <c r="F32" s="1"/>
    </row>
    <row r="33" ht="13.85" spans="1:6">
      <c r="A33" s="1"/>
      <c r="B33" s="1"/>
      <c r="C33" s="1"/>
      <c r="D33" s="1"/>
      <c r="E33" s="1"/>
      <c r="F33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18" customWidth="1"/>
    <col min="2" max="2" width="20" customWidth="1"/>
    <col min="3" max="3" width="21" customWidth="1"/>
    <col min="4" max="4" width="22" customWidth="1"/>
    <col min="5" max="5" width="24" customWidth="1"/>
    <col min="6" max="6" width="32" customWidth="1"/>
    <col min="7" max="7" width="79" customWidth="1"/>
  </cols>
  <sheetData>
    <row r="1" ht="13.85" spans="1:7">
      <c r="A1" s="1"/>
      <c r="B1" s="1"/>
      <c r="C1" s="1"/>
      <c r="D1" s="1"/>
      <c r="E1" s="1"/>
      <c r="F1" s="1"/>
      <c r="G1" s="1"/>
    </row>
    <row r="2" ht="32" customHeight="1" spans="1:7">
      <c r="A2" s="2" t="s">
        <v>72</v>
      </c>
      <c r="B2" s="1"/>
      <c r="C2" s="1"/>
      <c r="D2" s="1"/>
      <c r="E2" s="1"/>
      <c r="F2" s="1"/>
      <c r="G2" s="1"/>
    </row>
    <row r="3" ht="13.85" spans="1:7">
      <c r="A3" s="1" t="s">
        <v>73</v>
      </c>
      <c r="B3" s="1"/>
      <c r="C3" s="1"/>
      <c r="D3" s="1"/>
      <c r="E3" s="1"/>
      <c r="F3" s="1"/>
      <c r="G3" s="1"/>
    </row>
    <row r="4" ht="13.85" spans="1:7">
      <c r="A4" s="1"/>
      <c r="B4" s="1"/>
      <c r="C4" s="1"/>
      <c r="D4" s="1"/>
      <c r="E4" s="1"/>
      <c r="F4" s="1"/>
      <c r="G4" s="1"/>
    </row>
    <row r="5" ht="27" customHeight="1" spans="1:7">
      <c r="A5" s="3" t="s">
        <v>74</v>
      </c>
      <c r="B5" s="3"/>
      <c r="C5" s="3"/>
      <c r="D5" s="3"/>
      <c r="E5" s="3"/>
      <c r="F5" s="3"/>
      <c r="G5" s="3"/>
    </row>
    <row r="6" ht="36" customHeight="1" spans="1:7">
      <c r="A6" s="4" t="s">
        <v>75</v>
      </c>
      <c r="B6" s="4" t="s">
        <v>76</v>
      </c>
      <c r="C6" s="4" t="s">
        <v>77</v>
      </c>
      <c r="D6" s="4" t="s">
        <v>78</v>
      </c>
      <c r="E6" s="4" t="s">
        <v>79</v>
      </c>
      <c r="F6" s="4" t="s">
        <v>80</v>
      </c>
      <c r="G6" s="4" t="s">
        <v>81</v>
      </c>
    </row>
    <row r="7" ht="43" customHeight="1" spans="1:7">
      <c r="A7" s="5">
        <v>2020</v>
      </c>
      <c r="B7" s="6">
        <v>6.59</v>
      </c>
      <c r="C7" s="6">
        <v>6.39</v>
      </c>
      <c r="D7" s="6">
        <v>5.84</v>
      </c>
      <c r="E7" s="5" t="s">
        <v>82</v>
      </c>
      <c r="F7" s="5" t="s">
        <v>83</v>
      </c>
      <c r="G7" s="5" t="s">
        <v>84</v>
      </c>
    </row>
    <row r="8" ht="43" customHeight="1" spans="1:7">
      <c r="A8" s="7">
        <v>2021</v>
      </c>
      <c r="B8" s="8">
        <v>6.26</v>
      </c>
      <c r="C8" s="8">
        <v>5.58</v>
      </c>
      <c r="D8" s="8">
        <v>5.73</v>
      </c>
      <c r="E8" s="7" t="s">
        <v>82</v>
      </c>
      <c r="F8" s="7" t="s">
        <v>83</v>
      </c>
      <c r="G8" s="7" t="s">
        <v>84</v>
      </c>
    </row>
    <row r="9" ht="43" customHeight="1" spans="1:7">
      <c r="A9" s="7">
        <v>2022</v>
      </c>
      <c r="B9" s="8">
        <v>6.48</v>
      </c>
      <c r="C9" s="8">
        <v>6</v>
      </c>
      <c r="D9" s="8">
        <v>5.71</v>
      </c>
      <c r="E9" s="7" t="s">
        <v>82</v>
      </c>
      <c r="F9" s="7" t="s">
        <v>83</v>
      </c>
      <c r="G9" s="7" t="s">
        <v>84</v>
      </c>
    </row>
    <row r="10" ht="43" customHeight="1" spans="1:7">
      <c r="A10" s="7">
        <v>2023</v>
      </c>
      <c r="B10" s="8">
        <v>6.78</v>
      </c>
      <c r="C10" s="8">
        <v>6.5</v>
      </c>
      <c r="D10" s="8">
        <v>6.01</v>
      </c>
      <c r="E10" s="7" t="s">
        <v>82</v>
      </c>
      <c r="F10" s="7" t="s">
        <v>83</v>
      </c>
      <c r="G10" s="7" t="s">
        <v>84</v>
      </c>
    </row>
    <row r="11" ht="43" customHeight="1" spans="1:7">
      <c r="A11" s="7">
        <v>2024</v>
      </c>
      <c r="B11" s="8">
        <v>6.76</v>
      </c>
      <c r="C11" s="8">
        <v>6.45</v>
      </c>
      <c r="D11" s="8">
        <v>5.93</v>
      </c>
      <c r="E11" s="7" t="s">
        <v>82</v>
      </c>
      <c r="F11" s="7" t="s">
        <v>83</v>
      </c>
      <c r="G11" s="7" t="s">
        <v>84</v>
      </c>
    </row>
    <row r="12" ht="43" customHeight="1" spans="1:7">
      <c r="A12" s="9">
        <v>2025</v>
      </c>
      <c r="B12" s="10">
        <v>6.69</v>
      </c>
      <c r="C12" s="10">
        <v>6.26</v>
      </c>
      <c r="D12" s="10">
        <v>5.98</v>
      </c>
      <c r="E12" s="9" t="s">
        <v>82</v>
      </c>
      <c r="F12" s="9" t="s">
        <v>83</v>
      </c>
      <c r="G12" s="9" t="s">
        <v>84</v>
      </c>
    </row>
    <row r="13" ht="13.85" spans="1:7">
      <c r="A13" s="1"/>
      <c r="B13" s="1"/>
      <c r="C13" s="1"/>
      <c r="D13" s="1"/>
      <c r="E13" s="1"/>
      <c r="F13" s="1"/>
      <c r="G13" s="1"/>
    </row>
    <row r="14" ht="13.85" spans="1:7">
      <c r="A14" s="1" t="s">
        <v>85</v>
      </c>
      <c r="B14" s="11">
        <f>(B12-B11)*100</f>
        <v>-6.99999999999994</v>
      </c>
      <c r="C14" s="11">
        <f>(C12-C11)*100</f>
        <v>-19</v>
      </c>
      <c r="D14" s="11">
        <f>(D12-D11)*100</f>
        <v>5.00000000000007</v>
      </c>
      <c r="E14" s="1" t="s">
        <v>86</v>
      </c>
      <c r="F14" s="1" t="s">
        <v>87</v>
      </c>
      <c r="G14" s="1" t="s">
        <v>88</v>
      </c>
    </row>
    <row r="15" ht="13.85" spans="1:7">
      <c r="A15" s="1"/>
      <c r="B15" s="1"/>
      <c r="C15" s="1"/>
      <c r="D15" s="1"/>
      <c r="E15" s="1"/>
      <c r="F15" s="1"/>
      <c r="G15" s="1"/>
    </row>
    <row r="16" ht="27" customHeight="1" spans="1:7">
      <c r="A16" s="3" t="s">
        <v>89</v>
      </c>
      <c r="B16" s="3"/>
      <c r="C16" s="3"/>
      <c r="D16" s="3"/>
      <c r="E16" s="3"/>
      <c r="F16" s="3"/>
      <c r="G16" s="3"/>
    </row>
    <row r="17" ht="36" customHeight="1" spans="1:7">
      <c r="A17" s="4" t="s">
        <v>90</v>
      </c>
      <c r="B17" s="4" t="s">
        <v>91</v>
      </c>
      <c r="C17" s="4" t="s">
        <v>92</v>
      </c>
      <c r="D17" s="4" t="s">
        <v>93</v>
      </c>
      <c r="E17" s="4" t="s">
        <v>94</v>
      </c>
      <c r="F17" s="4" t="s">
        <v>80</v>
      </c>
      <c r="G17" s="4" t="s">
        <v>81</v>
      </c>
    </row>
    <row r="18" ht="48" customHeight="1" spans="1:7">
      <c r="A18" s="5">
        <v>2019</v>
      </c>
      <c r="B18" s="12">
        <v>109.3</v>
      </c>
      <c r="C18" s="12">
        <v>-7.33</v>
      </c>
      <c r="D18" s="5" t="s">
        <v>95</v>
      </c>
      <c r="E18" s="5" t="s">
        <v>96</v>
      </c>
      <c r="F18" s="5" t="s">
        <v>97</v>
      </c>
      <c r="G18" s="5" t="s">
        <v>98</v>
      </c>
    </row>
    <row r="19" ht="48" customHeight="1" spans="1:7">
      <c r="A19" s="7">
        <v>2020</v>
      </c>
      <c r="B19" s="13">
        <v>47.6</v>
      </c>
      <c r="C19" s="13">
        <v>-26.8</v>
      </c>
      <c r="D19" s="7" t="s">
        <v>95</v>
      </c>
      <c r="E19" s="7" t="s">
        <v>96</v>
      </c>
      <c r="F19" s="7" t="s">
        <v>97</v>
      </c>
      <c r="G19" s="7" t="s">
        <v>98</v>
      </c>
    </row>
    <row r="20" ht="48" customHeight="1" spans="1:7">
      <c r="A20" s="7">
        <v>2021</v>
      </c>
      <c r="B20" s="13">
        <v>78.6</v>
      </c>
      <c r="C20" s="13">
        <v>-9.01</v>
      </c>
      <c r="D20" s="7" t="s">
        <v>95</v>
      </c>
      <c r="E20" s="7" t="s">
        <v>96</v>
      </c>
      <c r="F20" s="7" t="s">
        <v>97</v>
      </c>
      <c r="G20" s="7" t="s">
        <v>98</v>
      </c>
    </row>
    <row r="21" ht="48" customHeight="1" spans="1:7">
      <c r="A21" s="7">
        <v>2022</v>
      </c>
      <c r="B21" s="13">
        <v>113.5</v>
      </c>
      <c r="C21" s="13">
        <v>-0.93476</v>
      </c>
      <c r="D21" s="7" t="s">
        <v>99</v>
      </c>
      <c r="E21" s="7" t="s">
        <v>96</v>
      </c>
      <c r="F21" s="7" t="s">
        <v>100</v>
      </c>
      <c r="G21" s="7" t="s">
        <v>98</v>
      </c>
    </row>
    <row r="22" ht="48" customHeight="1" spans="1:7">
      <c r="A22" s="9">
        <v>2023</v>
      </c>
      <c r="B22" s="14">
        <v>128.94</v>
      </c>
      <c r="C22" s="14">
        <v>0.65767</v>
      </c>
      <c r="D22" s="9" t="s">
        <v>101</v>
      </c>
      <c r="E22" s="9" t="s">
        <v>96</v>
      </c>
      <c r="F22" s="9" t="s">
        <v>102</v>
      </c>
      <c r="G22" s="9" t="s">
        <v>98</v>
      </c>
    </row>
    <row r="23" ht="13.85" spans="1:7">
      <c r="A23" s="1"/>
      <c r="B23" s="1"/>
      <c r="C23" s="1"/>
      <c r="D23" s="1"/>
      <c r="E23" s="1"/>
      <c r="F23" s="1"/>
      <c r="G23" s="1"/>
    </row>
    <row r="24" ht="27" customHeight="1" spans="1:7">
      <c r="A24" s="3" t="s">
        <v>103</v>
      </c>
      <c r="B24" s="3"/>
      <c r="C24" s="3"/>
      <c r="D24" s="3"/>
      <c r="E24" s="3"/>
      <c r="F24" s="3"/>
      <c r="G24" s="3"/>
    </row>
    <row r="25" ht="36" customHeight="1" spans="1:7">
      <c r="A25" s="4" t="s">
        <v>104</v>
      </c>
      <c r="B25" s="4" t="s">
        <v>105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81</v>
      </c>
    </row>
    <row r="26" ht="55" customHeight="1" spans="1:7">
      <c r="A26" s="5" t="s">
        <v>110</v>
      </c>
      <c r="B26" s="5" t="s">
        <v>77</v>
      </c>
      <c r="C26" s="6">
        <v>6.78</v>
      </c>
      <c r="D26" s="6">
        <v>6.34</v>
      </c>
      <c r="E26" s="15">
        <f>ABS((D26-C26)*100)</f>
        <v>44</v>
      </c>
      <c r="F26" s="5" t="s">
        <v>111</v>
      </c>
      <c r="G26" s="5" t="s">
        <v>112</v>
      </c>
    </row>
    <row r="27" ht="55" customHeight="1" spans="1:7">
      <c r="A27" s="9" t="s">
        <v>110</v>
      </c>
      <c r="B27" s="9" t="s">
        <v>78</v>
      </c>
      <c r="C27" s="10">
        <v>7.07</v>
      </c>
      <c r="D27" s="10">
        <v>5.93</v>
      </c>
      <c r="E27" s="16">
        <f>ABS((D27-C27)*100)</f>
        <v>114</v>
      </c>
      <c r="F27" s="9" t="s">
        <v>111</v>
      </c>
      <c r="G27" s="9" t="s">
        <v>112</v>
      </c>
    </row>
    <row r="28" ht="13.85" spans="1:7">
      <c r="A28" s="1"/>
      <c r="B28" s="1"/>
      <c r="C28" s="1"/>
      <c r="D28" s="1"/>
      <c r="E28" s="1"/>
      <c r="F28" s="1"/>
      <c r="G28" s="1"/>
    </row>
    <row r="29" ht="27" customHeight="1" spans="1:7">
      <c r="A29" s="3" t="s">
        <v>113</v>
      </c>
      <c r="B29" s="3"/>
      <c r="C29" s="3"/>
      <c r="D29" s="3"/>
      <c r="E29" s="3"/>
      <c r="F29" s="3"/>
      <c r="G29" s="3"/>
    </row>
    <row r="30" ht="29" customHeight="1" spans="1:7">
      <c r="A30" s="1" t="s">
        <v>114</v>
      </c>
      <c r="B30" s="1"/>
      <c r="C30" s="1"/>
      <c r="D30" s="1"/>
      <c r="E30" s="1"/>
      <c r="F30" s="1"/>
      <c r="G30" s="17" t="s">
        <v>115</v>
      </c>
    </row>
    <row r="31" ht="29" customHeight="1" spans="1:7">
      <c r="A31" s="1" t="s">
        <v>17</v>
      </c>
      <c r="B31" s="1"/>
      <c r="C31" s="1"/>
      <c r="D31" s="1"/>
      <c r="E31" s="1"/>
      <c r="F31" s="1"/>
      <c r="G31" s="17" t="s">
        <v>116</v>
      </c>
    </row>
    <row r="32" ht="29" customHeight="1" spans="1:7">
      <c r="A32" s="1" t="s">
        <v>117</v>
      </c>
      <c r="B32" s="1"/>
      <c r="C32" s="1"/>
      <c r="D32" s="1"/>
      <c r="E32" s="1"/>
      <c r="F32" s="1"/>
      <c r="G32" s="17" t="s">
        <v>118</v>
      </c>
    </row>
    <row r="33" ht="29" customHeight="1" spans="1:7">
      <c r="A33" s="1" t="s">
        <v>119</v>
      </c>
      <c r="B33" s="1"/>
      <c r="C33" s="1"/>
      <c r="D33" s="1"/>
      <c r="E33" s="1"/>
      <c r="F33" s="1"/>
      <c r="G33" s="17" t="s">
        <v>120</v>
      </c>
    </row>
    <row r="34" ht="29" customHeight="1" spans="1:7">
      <c r="A34" s="1" t="s">
        <v>121</v>
      </c>
      <c r="B34" s="1"/>
      <c r="C34" s="1"/>
      <c r="D34" s="1"/>
      <c r="E34" s="1"/>
      <c r="F34" s="1"/>
      <c r="G34" s="17" t="s">
        <v>122</v>
      </c>
    </row>
    <row r="35" ht="13.85" spans="1:7">
      <c r="A35" s="1"/>
      <c r="B35" s="1"/>
      <c r="C35" s="1"/>
      <c r="D35" s="1"/>
      <c r="E35" s="1"/>
      <c r="F35" s="1"/>
      <c r="G35" s="1"/>
    </row>
    <row r="36" ht="13.85" spans="1:7">
      <c r="A36" s="1"/>
      <c r="B36" s="1"/>
      <c r="C36" s="1"/>
      <c r="D36" s="1"/>
      <c r="E36" s="1"/>
      <c r="F36" s="1"/>
      <c r="G36" s="1"/>
    </row>
    <row r="37" ht="13.85" spans="1:7">
      <c r="A37" s="1"/>
      <c r="B37" s="1"/>
      <c r="C37" s="1"/>
      <c r="D37" s="1"/>
      <c r="E37" s="1"/>
      <c r="F37" s="1"/>
      <c r="G37" s="1"/>
    </row>
    <row r="38" ht="13.85" spans="1:7">
      <c r="A38" s="1"/>
      <c r="B38" s="1"/>
      <c r="C38" s="1"/>
      <c r="D38" s="1"/>
      <c r="E38" s="1"/>
      <c r="F38" s="1"/>
      <c r="G38" s="1"/>
    </row>
    <row r="39" ht="13.85" spans="1:7">
      <c r="A39" s="1"/>
      <c r="B39" s="1"/>
      <c r="C39" s="1"/>
      <c r="D39" s="1"/>
      <c r="E39" s="1"/>
      <c r="F39" s="1"/>
      <c r="G39" s="1"/>
    </row>
    <row r="40" ht="13.85" spans="1:7">
      <c r="A40" s="1"/>
      <c r="B40" s="1"/>
      <c r="C40" s="1"/>
      <c r="D40" s="1"/>
      <c r="E40" s="1"/>
      <c r="F40" s="1"/>
      <c r="G40" s="1"/>
    </row>
    <row r="41" ht="13.85" spans="1:7">
      <c r="A41" s="1"/>
      <c r="B41" s="1"/>
      <c r="C41" s="1"/>
      <c r="D41" s="1"/>
      <c r="E41" s="1"/>
      <c r="F41" s="1"/>
      <c r="G41" s="1"/>
    </row>
    <row r="42" ht="13.85" spans="1:7">
      <c r="A42" s="1"/>
      <c r="B42" s="1"/>
      <c r="C42" s="1"/>
      <c r="D42" s="1"/>
      <c r="E42" s="1"/>
      <c r="F42" s="1"/>
      <c r="G42" s="1"/>
    </row>
    <row r="43" ht="13.85" spans="1:7">
      <c r="A43" s="1"/>
      <c r="B43" s="1"/>
      <c r="C43" s="1"/>
      <c r="D43" s="1"/>
      <c r="E43" s="1"/>
      <c r="F43" s="1"/>
      <c r="G43" s="1"/>
    </row>
    <row r="44" ht="13.85" spans="1:7">
      <c r="A44" s="1"/>
      <c r="B44" s="1"/>
      <c r="C44" s="1"/>
      <c r="D44" s="1"/>
      <c r="E44" s="1"/>
      <c r="F44" s="1"/>
      <c r="G44" s="1"/>
    </row>
    <row r="45" ht="13.85" spans="1:7">
      <c r="A45" s="1"/>
      <c r="B45" s="1"/>
      <c r="C45" s="1"/>
      <c r="D45" s="1"/>
      <c r="E45" s="1"/>
      <c r="F45" s="1"/>
      <c r="G45" s="1"/>
    </row>
    <row r="46" ht="13.85" spans="1:7">
      <c r="A46" s="1"/>
      <c r="B46" s="1"/>
      <c r="C46" s="1"/>
      <c r="D46" s="1"/>
      <c r="E46" s="1"/>
      <c r="F46" s="1"/>
      <c r="G46" s="1"/>
    </row>
    <row r="47" ht="13.85" spans="1:7">
      <c r="A47" s="1"/>
      <c r="B47" s="1"/>
      <c r="C47" s="1"/>
      <c r="D47" s="1"/>
      <c r="E47" s="1"/>
      <c r="F47" s="1"/>
      <c r="G4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核验结论</vt:lpstr>
      <vt:lpstr>数值与来源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孔祥玉</cp:lastModifiedBy>
  <dcterms:created xsi:type="dcterms:W3CDTF">2026-10-24T12:42:28Z</dcterms:created>
  <dcterms:modified xsi:type="dcterms:W3CDTF">2026-10-24T12:46:34Z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E6D56761B517403D8896E7EE0F38E4AB_12</vt:lpwstr>
  </property>
  <property fmtid="{D5CDD505-2E9C-101B-9397-08002B2CF9AE}" pid="3" name="KSOProductBuildVer">
    <vt:lpwstr>2052-12.1.0.23125</vt:lpwstr>
  </property>
</Properties>
</file>